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Parts Catalogue" sheetId="2" state="visible" r:id="rId4"/>
    <sheet name="Lists" sheetId="3" state="visible" r:id="rId5"/>
    <sheet name="Summary" sheetId="4" state="visible" r:id="rId6"/>
  </sheets>
  <definedNames>
    <definedName function="false" hidden="true" localSheetId="1" name="_xlnm._FilterDatabase" vbProcedure="false">'Parts Catalogue'!$A$1:$Q$44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<sst xmlns="http://schemas.openxmlformats.org/spreadsheetml/2006/main" count="302" uniqueCount="176">
  <si>
    <t xml:space="preserve">DEI VOX: Parts Catalogue Starter Template</t>
  </si>
  <si>
    <t xml:space="preserve">Purpose</t>
  </si>
  <si>
    <t xml:space="preserve">A starter list of typical BCP (boiler circulation pump) parts to plan the website catalogue. It is a suggested list, not a statement of what DEI VOX stocks. Keep only the parts you can genuinely supply.</t>
  </si>
  <si>
    <t xml:space="preserve">Which cells to edit</t>
  </si>
  <si>
    <t xml:space="preserve">Yellow cells on the 'Parts Catalogue' sheet are for you to fill in. White cells (Part ID, category, part name, description, typical reason, priority) are pre-filled suggestions you can also edit.</t>
  </si>
  <si>
    <t xml:space="preserve">Step 1</t>
  </si>
  <si>
    <t xml:space="preserve">Set 'Publish on site?' to Yes only for parts you can actually supply and have photographed.</t>
  </si>
  <si>
    <t xml:space="preserve">Step 2</t>
  </si>
  <si>
    <t xml:space="preserve">Fill in Intended for (make), Series / model, Material, Supply route, Availability, Lead time, Min. order qty and Documents supplied with verified information.</t>
  </si>
  <si>
    <t xml:space="preserve">Step 3</t>
  </si>
  <si>
    <t xml:space="preserve">Add the photo file name for each part. Use photographs of parts you made or hold, not OEM catalogue images.</t>
  </si>
  <si>
    <t xml:space="preserve">Step 4</t>
  </si>
  <si>
    <t xml:space="preserve">Delete rows for parts you cannot supply. Add new parts in the blank rows at the bottom.</t>
  </si>
  <si>
    <t xml:space="preserve">Part IDs</t>
  </si>
  <si>
    <t xml:space="preserve">DV-xx-nnn numbers are DEI VOX's own placeholder numbering. Do not use OEM part numbers as your own part numbers.</t>
  </si>
  <si>
    <t xml:space="preserve">Supply route</t>
  </si>
  <si>
    <t xml:space="preserve">New / Reverse-engineered / Refurbished or exchange / Rewinding service / Repair / Assembled kit / Sourced. Pick the one that matches how you really supply the part.</t>
  </si>
  <si>
    <t xml:space="preserve">Availability</t>
  </si>
  <si>
    <t xml:space="preserve">In stock = you hold it now. Made to order = manufactured after the order. Request quote = decided case by case. Keep this truthful.</t>
  </si>
  <si>
    <t xml:space="preserve">Launch priority</t>
  </si>
  <si>
    <t xml:space="preserve">Suggested order for the first catalogue release. Start with High priority parts that are consumed in almost every overhaul.</t>
  </si>
  <si>
    <t xml:space="preserve">Summary sheet</t>
  </si>
  <si>
    <t xml:space="preserve">Counts update automatically from the Parts Catalogue sheet.</t>
  </si>
  <si>
    <t xml:space="preserve">Source of suggested list</t>
  </si>
  <si>
    <t xml:space="preserve">Typical wear and failure patterns in wet-stator BCPs, compiled as a planning aid. Not verified against DEI VOX's stock or capability.</t>
  </si>
  <si>
    <t xml:space="preserve">Example of a completed row</t>
  </si>
  <si>
    <t xml:space="preserve">Part ID</t>
  </si>
  <si>
    <t xml:space="preserve">DV-PE-003</t>
  </si>
  <si>
    <t xml:space="preserve">Category</t>
  </si>
  <si>
    <t xml:space="preserve">Pump end</t>
  </si>
  <si>
    <t xml:space="preserve">Part name</t>
  </si>
  <si>
    <t xml:space="preserve">Wear rings (impeller and casing)</t>
  </si>
  <si>
    <t xml:space="preserve">Intended for (make)</t>
  </si>
  <si>
    <t xml:space="preserve">[Make] (example only)</t>
  </si>
  <si>
    <t xml:space="preserve">Series / model</t>
  </si>
  <si>
    <t xml:space="preserve">[Series] (example only)</t>
  </si>
  <si>
    <t xml:space="preserve">Material</t>
  </si>
  <si>
    <t xml:space="preserve">[Specification] (example only)</t>
  </si>
  <si>
    <t xml:space="preserve">New</t>
  </si>
  <si>
    <t xml:space="preserve">Made to order</t>
  </si>
  <si>
    <t xml:space="preserve">Lead time</t>
  </si>
  <si>
    <t xml:space="preserve">6 to 8 weeks (example only)</t>
  </si>
  <si>
    <t xml:space="preserve">Min. order qty</t>
  </si>
  <si>
    <t xml:space="preserve">1 set (example only)</t>
  </si>
  <si>
    <t xml:space="preserve">Documents supplied</t>
  </si>
  <si>
    <t xml:space="preserve">Inspection report, certificate of conformity (example only)</t>
  </si>
  <si>
    <t xml:space="preserve">Publish on site?</t>
  </si>
  <si>
    <t xml:space="preserve">Yes</t>
  </si>
  <si>
    <t xml:space="preserve">Photo file name</t>
  </si>
  <si>
    <t xml:space="preserve">wear-ring-set-01.jpg</t>
  </si>
  <si>
    <t xml:space="preserve">The example values are illustrations of the expected format and are not claims about DEI VOX.</t>
  </si>
  <si>
    <t xml:space="preserve">What it does</t>
  </si>
  <si>
    <t xml:space="preserve">Why it gets replaced</t>
  </si>
  <si>
    <t xml:space="preserve">Notes</t>
  </si>
  <si>
    <t xml:space="preserve">DV-PE-001</t>
  </si>
  <si>
    <t xml:space="preserve">Impeller</t>
  </si>
  <si>
    <t xml:space="preserve">Moves the water through the pump</t>
  </si>
  <si>
    <t xml:space="preserve">Erosion, cavitation damage, cracks</t>
  </si>
  <si>
    <t xml:space="preserve">Reverse-engineered or new</t>
  </si>
  <si>
    <t xml:space="preserve">High</t>
  </si>
  <si>
    <t xml:space="preserve">No</t>
  </si>
  <si>
    <t xml:space="preserve">DV-PE-002</t>
  </si>
  <si>
    <t xml:space="preserve">Diffuser</t>
  </si>
  <si>
    <t xml:space="preserve">Converts water velocity into pressure</t>
  </si>
  <si>
    <t xml:space="preserve">Erosion, wear at passages</t>
  </si>
  <si>
    <t xml:space="preserve">Medium</t>
  </si>
  <si>
    <t xml:space="preserve">Control running clearance between rotating and stationary parts</t>
  </si>
  <si>
    <t xml:space="preserve">Clearance growth, lost efficiency</t>
  </si>
  <si>
    <t xml:space="preserve">DV-PE-004</t>
  </si>
  <si>
    <t xml:space="preserve">Pump shaft</t>
  </si>
  <si>
    <t xml:space="preserve">Carries torque and joins pump end to motor</t>
  </si>
  <si>
    <t xml:space="preserve">Wear at journals, bending, cracks</t>
  </si>
  <si>
    <t xml:space="preserve">New or reverse-engineered</t>
  </si>
  <si>
    <t xml:space="preserve">DV-PE-005</t>
  </si>
  <si>
    <t xml:space="preserve">Casing cover / casing parts</t>
  </si>
  <si>
    <t xml:space="preserve">Form the pressure boundary and flow path</t>
  </si>
  <si>
    <t xml:space="preserve">Erosion, gasket seat damage</t>
  </si>
  <si>
    <t xml:space="preserve">Repair, or new on request</t>
  </si>
  <si>
    <t xml:space="preserve">Low</t>
  </si>
  <si>
    <t xml:space="preserve">DV-BR-001</t>
  </si>
  <si>
    <t xml:space="preserve">Bearings and rotating parts</t>
  </si>
  <si>
    <t xml:space="preserve">Journal (radial) bearings</t>
  </si>
  <si>
    <t xml:space="preserve">Support the rotor radially</t>
  </si>
  <si>
    <t xml:space="preserve">Wear, growth in running clearance</t>
  </si>
  <si>
    <t xml:space="preserve">DV-BR-002</t>
  </si>
  <si>
    <t xml:space="preserve">Bearing sleeves</t>
  </si>
  <si>
    <t xml:space="preserve">Mating surface for journal bearings</t>
  </si>
  <si>
    <t xml:space="preserve">Scoring, wear</t>
  </si>
  <si>
    <t xml:space="preserve">DV-BR-003</t>
  </si>
  <si>
    <t xml:space="preserve">Thrust bearing set (pads and runner / collar)</t>
  </si>
  <si>
    <t xml:space="preserve">Carries axial load</t>
  </si>
  <si>
    <t xml:space="preserve">Wear, overload, poor lubrication</t>
  </si>
  <si>
    <t xml:space="preserve">DV-BR-004</t>
  </si>
  <si>
    <t xml:space="preserve">Auxiliary / cooling impeller</t>
  </si>
  <si>
    <t xml:space="preserve">Circulates motor cooling water</t>
  </si>
  <si>
    <t xml:space="preserve">Wear, blockage</t>
  </si>
  <si>
    <t xml:space="preserve">DV-MO-001</t>
  </si>
  <si>
    <t xml:space="preserve">Motor</t>
  </si>
  <si>
    <t xml:space="preserve">Stator winding</t>
  </si>
  <si>
    <t xml:space="preserve">Produces the magnetic field</t>
  </si>
  <si>
    <t xml:space="preserve">Insulation failure</t>
  </si>
  <si>
    <t xml:space="preserve">Rewinding service</t>
  </si>
  <si>
    <t xml:space="preserve">DV-MO-002</t>
  </si>
  <si>
    <t xml:space="preserve">Stator can</t>
  </si>
  <si>
    <t xml:space="preserve">Protects the winding from the water</t>
  </si>
  <si>
    <t xml:space="preserve">Pitting, leaks, damage</t>
  </si>
  <si>
    <t xml:space="preserve">Repair or new</t>
  </si>
  <si>
    <t xml:space="preserve">DV-MO-003</t>
  </si>
  <si>
    <t xml:space="preserve">Rotor can</t>
  </si>
  <si>
    <t xml:space="preserve">Protects the rotor</t>
  </si>
  <si>
    <t xml:space="preserve">Damage, corrosion</t>
  </si>
  <si>
    <t xml:space="preserve">DV-MO-004</t>
  </si>
  <si>
    <t xml:space="preserve">Rotor assembly</t>
  </si>
  <si>
    <t xml:space="preserve">Turns the shaft</t>
  </si>
  <si>
    <t xml:space="preserve">Bar damage, can damage, imbalance</t>
  </si>
  <si>
    <t xml:space="preserve">Repair or exchange</t>
  </si>
  <si>
    <t xml:space="preserve">DV-MO-005</t>
  </si>
  <si>
    <t xml:space="preserve">End covers and bearing housings</t>
  </si>
  <si>
    <t xml:space="preserve">Support bearings and close the motor</t>
  </si>
  <si>
    <t xml:space="preserve">Wear, damage, cracks</t>
  </si>
  <si>
    <t xml:space="preserve">DV-MO-006</t>
  </si>
  <si>
    <t xml:space="preserve">Terminal gland and cable parts</t>
  </si>
  <si>
    <t xml:space="preserve">Carry power into the pressure boundary</t>
  </si>
  <si>
    <t xml:space="preserve">Leakage, insulation damage</t>
  </si>
  <si>
    <t xml:space="preserve">DV-SJ-001</t>
  </si>
  <si>
    <t xml:space="preserve">Sealing and joints</t>
  </si>
  <si>
    <t xml:space="preserve">Main flange gaskets</t>
  </si>
  <si>
    <t xml:space="preserve">Seal the pressure boundary</t>
  </si>
  <si>
    <t xml:space="preserve">Replaced at every overhaul</t>
  </si>
  <si>
    <t xml:space="preserve">DV-SJ-002</t>
  </si>
  <si>
    <t xml:space="preserve">Studs, nuts and special fasteners</t>
  </si>
  <si>
    <t xml:space="preserve">Hold the pressure joints</t>
  </si>
  <si>
    <t xml:space="preserve">Stretch, damage, single-use rules</t>
  </si>
  <si>
    <t xml:space="preserve">DV-SJ-003</t>
  </si>
  <si>
    <t xml:space="preserve">Sealing rings and small gaskets</t>
  </si>
  <si>
    <t xml:space="preserve">Seal auxiliary and cooling joints</t>
  </si>
  <si>
    <t xml:space="preserve">Hardening, damage</t>
  </si>
  <si>
    <t xml:space="preserve">DV-CC-001</t>
  </si>
  <si>
    <t xml:space="preserve">Cooling circuit</t>
  </si>
  <si>
    <t xml:space="preserve">Heat exchanger / cooler parts</t>
  </si>
  <si>
    <t xml:space="preserve">Keep the motor cavity cool</t>
  </si>
  <si>
    <t xml:space="preserve">Fouling, leaks</t>
  </si>
  <si>
    <t xml:space="preserve">New or repair</t>
  </si>
  <si>
    <t xml:space="preserve">DV-CC-002</t>
  </si>
  <si>
    <t xml:space="preserve">Cooling lines and fittings</t>
  </si>
  <si>
    <t xml:space="preserve">Carry cooling water</t>
  </si>
  <si>
    <t xml:space="preserve">Corrosion, leaks</t>
  </si>
  <si>
    <t xml:space="preserve">DV-CC-003</t>
  </si>
  <si>
    <t xml:space="preserve">Auxiliary valves and instruments</t>
  </si>
  <si>
    <t xml:space="preserve">Control and monitor the cooling circuit</t>
  </si>
  <si>
    <t xml:space="preserve">Wear, failure</t>
  </si>
  <si>
    <t xml:space="preserve">Sourced</t>
  </si>
  <si>
    <t xml:space="preserve">DV-KT-001</t>
  </si>
  <si>
    <t xml:space="preserve">Kits</t>
  </si>
  <si>
    <t xml:space="preserve">Pump overhaul kit (wear rings, gaskets, fasteners, bearings)</t>
  </si>
  <si>
    <t xml:space="preserve">One order for a standard pump overhaul</t>
  </si>
  <si>
    <t xml:space="preserve">Planned overhaul</t>
  </si>
  <si>
    <t xml:space="preserve">Assembled kit</t>
  </si>
  <si>
    <t xml:space="preserve">DV-KT-002</t>
  </si>
  <si>
    <t xml:space="preserve">Motor overhaul kit (bearings, gaskets, small parts)</t>
  </si>
  <si>
    <t xml:space="preserve">One order for a motor overhaul</t>
  </si>
  <si>
    <t xml:space="preserve">These lists feed the drop-down menus. Edit them here if you need new options.</t>
  </si>
  <si>
    <t xml:space="preserve">In stock</t>
  </si>
  <si>
    <t xml:space="preserve">Reverse-engineered</t>
  </si>
  <si>
    <t xml:space="preserve">Refurbished or exchange</t>
  </si>
  <si>
    <t xml:space="preserve">Request quote</t>
  </si>
  <si>
    <t xml:space="preserve">Repair</t>
  </si>
  <si>
    <t xml:space="preserve">Catalogue summary</t>
  </si>
  <si>
    <t xml:space="preserve">Parts by category</t>
  </si>
  <si>
    <t xml:space="preserve">Listed</t>
  </si>
  <si>
    <t xml:space="preserve">Ready to publish</t>
  </si>
  <si>
    <t xml:space="preserve">Total</t>
  </si>
  <si>
    <t xml:space="preserve">Availability (published parts)</t>
  </si>
  <si>
    <t xml:space="preserve">Count</t>
  </si>
  <si>
    <t xml:space="preserve">Launch priority (all listed parts)</t>
  </si>
  <si>
    <t xml:space="preserve">Tip: aim to publish 15 to 30 core parts first, with good photographs.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</si>
</sst>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  <row r="11" customFormat="false" ht="23.85" hidden="false" customHeight="false" outlineLevel="0" collapsed="false">
      <c r="A11" s="2" t="s">
        <v>17</v>
      </c>
      <c r="B11" s="3" t="s">
        <v>18</v>
      </c>
    </row>
    <row r="12" customFormat="false" ht="23.8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  <row r="14" customFormat="false" ht="23.85" hidden="false" customHeight="false" outlineLevel="0" collapsed="false">
      <c r="A14" s="2" t="s">
        <v>23</v>
      </c>
      <c r="B14" s="3" t="s">
        <v>24</v>
      </c>
    </row>
    <row r="16" customFormat="false" ht="15" hidden="false" customHeight="false" outlineLevel="0" collapsed="false">
      <c r="A16" s="4" t="s">
        <v>25</v>
      </c>
    </row>
    <row r="17" customFormat="false" ht="15" hidden="false" customHeight="false" outlineLevel="0" collapsed="false">
      <c r="A17" s="5" t="s">
        <v>26</v>
      </c>
      <c r="B17" s="6" t="s">
        <v>27</v>
      </c>
    </row>
    <row r="18" customFormat="false" ht="15" hidden="false" customHeight="false" outlineLevel="0" collapsed="false">
      <c r="A18" s="5" t="s">
        <v>28</v>
      </c>
      <c r="B18" s="6" t="s">
        <v>29</v>
      </c>
    </row>
    <row r="19" customFormat="false" ht="15" hidden="false" customHeight="false" outlineLevel="0" collapsed="false">
      <c r="A19" s="5" t="s">
        <v>30</v>
      </c>
      <c r="B19" s="6" t="s">
        <v>31</v>
      </c>
    </row>
    <row r="20" customFormat="false" ht="15" hidden="false" customHeight="false" outlineLevel="0" collapsed="false">
      <c r="A20" s="5" t="s">
        <v>32</v>
      </c>
      <c r="B20" s="6" t="s">
        <v>33</v>
      </c>
    </row>
    <row r="21" customFormat="false" ht="15" hidden="false" customHeight="false" outlineLevel="0" collapsed="false">
      <c r="A21" s="5" t="s">
        <v>34</v>
      </c>
      <c r="B21" s="6" t="s">
        <v>35</v>
      </c>
    </row>
    <row r="22" customFormat="false" ht="15" hidden="false" customHeight="false" outlineLevel="0" collapsed="false">
      <c r="A22" s="5" t="s">
        <v>36</v>
      </c>
      <c r="B22" s="6" t="s">
        <v>37</v>
      </c>
    </row>
    <row r="23" customFormat="false" ht="15" hidden="false" customHeight="false" outlineLevel="0" collapsed="false">
      <c r="A23" s="5" t="s">
        <v>15</v>
      </c>
      <c r="B23" s="6" t="s">
        <v>38</v>
      </c>
    </row>
    <row r="24" customFormat="false" ht="15" hidden="false" customHeight="false" outlineLevel="0" collapsed="false">
      <c r="A24" s="5" t="s">
        <v>17</v>
      </c>
      <c r="B24" s="6" t="s">
        <v>39</v>
      </c>
    </row>
    <row r="25" customFormat="false" ht="15" hidden="false" customHeight="false" outlineLevel="0" collapsed="false">
      <c r="A25" s="5" t="s">
        <v>40</v>
      </c>
      <c r="B25" s="6" t="s">
        <v>41</v>
      </c>
    </row>
    <row r="26" customFormat="false" ht="15" hidden="false" customHeight="false" outlineLevel="0" collapsed="false">
      <c r="A26" s="5" t="s">
        <v>42</v>
      </c>
      <c r="B26" s="6" t="s">
        <v>43</v>
      </c>
    </row>
    <row r="27" customFormat="false" ht="15" hidden="false" customHeight="false" outlineLevel="0" collapsed="false">
      <c r="A27" s="5" t="s">
        <v>44</v>
      </c>
      <c r="B27" s="6" t="s">
        <v>45</v>
      </c>
    </row>
    <row r="28" customFormat="false" ht="15" hidden="false" customHeight="false" outlineLevel="0" collapsed="false">
      <c r="A28" s="5" t="s">
        <v>46</v>
      </c>
      <c r="B28" s="6" t="s">
        <v>47</v>
      </c>
    </row>
    <row r="29" customFormat="false" ht="15" hidden="false" customHeight="false" outlineLevel="0" collapsed="false">
      <c r="A29" s="5" t="s">
        <v>48</v>
      </c>
      <c r="B29" s="6" t="s">
        <v>49</v>
      </c>
    </row>
    <row r="30" customFormat="false" ht="15" hidden="false" customHeight="false" outlineLevel="0" collapsed="false">
      <c r="A30" s="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34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24"/>
    <col collapsed="false" customWidth="true" hidden="false" outlineLevel="0" max="15" min="14" style="0" width="12"/>
    <col collapsed="false" customWidth="true" hidden="false" outlineLevel="0" max="16" min="16" style="0" width="20"/>
    <col collapsed="false" customWidth="true" hidden="false" outlineLevel="0" max="17" min="17" style="0" width="28"/>
  </cols>
  <sheetData>
    <row r="1" customFormat="false" ht="31.5" hidden="false" customHeight="true" outlineLevel="0" collapsed="false">
      <c r="A1" s="8" t="s">
        <v>26</v>
      </c>
      <c r="B1" s="8" t="s">
        <v>28</v>
      </c>
      <c r="C1" s="8" t="s">
        <v>30</v>
      </c>
      <c r="D1" s="8" t="s">
        <v>51</v>
      </c>
      <c r="E1" s="8" t="s">
        <v>52</v>
      </c>
      <c r="F1" s="8" t="s">
        <v>32</v>
      </c>
      <c r="G1" s="8" t="s">
        <v>34</v>
      </c>
      <c r="H1" s="8" t="s">
        <v>36</v>
      </c>
      <c r="I1" s="8" t="s">
        <v>15</v>
      </c>
      <c r="J1" s="8" t="s">
        <v>17</v>
      </c>
      <c r="K1" s="8" t="s">
        <v>40</v>
      </c>
      <c r="L1" s="8" t="s">
        <v>42</v>
      </c>
      <c r="M1" s="8" t="s">
        <v>44</v>
      </c>
      <c r="N1" s="8" t="s">
        <v>19</v>
      </c>
      <c r="O1" s="8" t="s">
        <v>46</v>
      </c>
      <c r="P1" s="8" t="s">
        <v>48</v>
      </c>
      <c r="Q1" s="8" t="s">
        <v>53</v>
      </c>
    </row>
    <row r="2" customFormat="false" ht="23.85" hidden="false" customHeight="false" outlineLevel="0" collapsed="false">
      <c r="A2" s="9" t="s">
        <v>54</v>
      </c>
      <c r="B2" s="9" t="s">
        <v>29</v>
      </c>
      <c r="C2" s="9" t="s">
        <v>55</v>
      </c>
      <c r="D2" s="9" t="s">
        <v>56</v>
      </c>
      <c r="E2" s="9" t="s">
        <v>57</v>
      </c>
      <c r="F2" s="10"/>
      <c r="G2" s="10"/>
      <c r="H2" s="10"/>
      <c r="I2" s="10" t="s">
        <v>58</v>
      </c>
      <c r="J2" s="10"/>
      <c r="K2" s="10"/>
      <c r="L2" s="10"/>
      <c r="M2" s="10"/>
      <c r="N2" s="9" t="s">
        <v>59</v>
      </c>
      <c r="O2" s="10" t="s">
        <v>60</v>
      </c>
      <c r="P2" s="10"/>
      <c r="Q2" s="10"/>
    </row>
    <row r="3" customFormat="false" ht="23.85" hidden="false" customHeight="false" outlineLevel="0" collapsed="false">
      <c r="A3" s="9" t="s">
        <v>61</v>
      </c>
      <c r="B3" s="9" t="s">
        <v>29</v>
      </c>
      <c r="C3" s="9" t="s">
        <v>62</v>
      </c>
      <c r="D3" s="9" t="s">
        <v>63</v>
      </c>
      <c r="E3" s="9" t="s">
        <v>64</v>
      </c>
      <c r="F3" s="10"/>
      <c r="G3" s="10"/>
      <c r="H3" s="10"/>
      <c r="I3" s="10" t="s">
        <v>58</v>
      </c>
      <c r="J3" s="10"/>
      <c r="K3" s="10"/>
      <c r="L3" s="10"/>
      <c r="M3" s="10"/>
      <c r="N3" s="9" t="s">
        <v>65</v>
      </c>
      <c r="O3" s="10" t="s">
        <v>60</v>
      </c>
      <c r="P3" s="10"/>
      <c r="Q3" s="10"/>
    </row>
    <row r="4" customFormat="false" ht="23.85" hidden="false" customHeight="false" outlineLevel="0" collapsed="false">
      <c r="A4" s="9" t="s">
        <v>27</v>
      </c>
      <c r="B4" s="9" t="s">
        <v>29</v>
      </c>
      <c r="C4" s="9" t="s">
        <v>31</v>
      </c>
      <c r="D4" s="9" t="s">
        <v>66</v>
      </c>
      <c r="E4" s="9" t="s">
        <v>67</v>
      </c>
      <c r="F4" s="10"/>
      <c r="G4" s="10"/>
      <c r="H4" s="10"/>
      <c r="I4" s="10" t="s">
        <v>38</v>
      </c>
      <c r="J4" s="10"/>
      <c r="K4" s="10"/>
      <c r="L4" s="10"/>
      <c r="M4" s="10"/>
      <c r="N4" s="9" t="s">
        <v>59</v>
      </c>
      <c r="O4" s="10" t="s">
        <v>60</v>
      </c>
      <c r="P4" s="10"/>
      <c r="Q4" s="10"/>
    </row>
    <row r="5" customFormat="false" ht="23.85" hidden="false" customHeight="false" outlineLevel="0" collapsed="false">
      <c r="A5" s="9" t="s">
        <v>68</v>
      </c>
      <c r="B5" s="9" t="s">
        <v>29</v>
      </c>
      <c r="C5" s="9" t="s">
        <v>69</v>
      </c>
      <c r="D5" s="9" t="s">
        <v>70</v>
      </c>
      <c r="E5" s="9" t="s">
        <v>71</v>
      </c>
      <c r="F5" s="10"/>
      <c r="G5" s="10"/>
      <c r="H5" s="10"/>
      <c r="I5" s="10" t="s">
        <v>72</v>
      </c>
      <c r="J5" s="10"/>
      <c r="K5" s="10"/>
      <c r="L5" s="10"/>
      <c r="M5" s="10"/>
      <c r="N5" s="9" t="s">
        <v>65</v>
      </c>
      <c r="O5" s="10" t="s">
        <v>60</v>
      </c>
      <c r="P5" s="10"/>
      <c r="Q5" s="10"/>
    </row>
    <row r="6" customFormat="false" ht="23.85" hidden="false" customHeight="false" outlineLevel="0" collapsed="false">
      <c r="A6" s="9" t="s">
        <v>73</v>
      </c>
      <c r="B6" s="9" t="s">
        <v>29</v>
      </c>
      <c r="C6" s="9" t="s">
        <v>74</v>
      </c>
      <c r="D6" s="9" t="s">
        <v>75</v>
      </c>
      <c r="E6" s="9" t="s">
        <v>76</v>
      </c>
      <c r="F6" s="10"/>
      <c r="G6" s="10"/>
      <c r="H6" s="10"/>
      <c r="I6" s="10" t="s">
        <v>77</v>
      </c>
      <c r="J6" s="10"/>
      <c r="K6" s="10"/>
      <c r="L6" s="10"/>
      <c r="M6" s="10"/>
      <c r="N6" s="9" t="s">
        <v>78</v>
      </c>
      <c r="O6" s="10" t="s">
        <v>60</v>
      </c>
      <c r="P6" s="10"/>
      <c r="Q6" s="10"/>
    </row>
    <row r="7" customFormat="false" ht="23.85" hidden="false" customHeight="false" outlineLevel="0" collapsed="false">
      <c r="A7" s="9" t="s">
        <v>79</v>
      </c>
      <c r="B7" s="9" t="s">
        <v>80</v>
      </c>
      <c r="C7" s="9" t="s">
        <v>81</v>
      </c>
      <c r="D7" s="9" t="s">
        <v>82</v>
      </c>
      <c r="E7" s="9" t="s">
        <v>83</v>
      </c>
      <c r="F7" s="10"/>
      <c r="G7" s="10"/>
      <c r="H7" s="10"/>
      <c r="I7" s="10" t="s">
        <v>72</v>
      </c>
      <c r="J7" s="10"/>
      <c r="K7" s="10"/>
      <c r="L7" s="10"/>
      <c r="M7" s="10"/>
      <c r="N7" s="9" t="s">
        <v>59</v>
      </c>
      <c r="O7" s="10" t="s">
        <v>60</v>
      </c>
      <c r="P7" s="10"/>
      <c r="Q7" s="10"/>
    </row>
    <row r="8" customFormat="false" ht="23.85" hidden="false" customHeight="false" outlineLevel="0" collapsed="false">
      <c r="A8" s="9" t="s">
        <v>84</v>
      </c>
      <c r="B8" s="9" t="s">
        <v>80</v>
      </c>
      <c r="C8" s="9" t="s">
        <v>85</v>
      </c>
      <c r="D8" s="9" t="s">
        <v>86</v>
      </c>
      <c r="E8" s="9" t="s">
        <v>87</v>
      </c>
      <c r="F8" s="10"/>
      <c r="G8" s="10"/>
      <c r="H8" s="10"/>
      <c r="I8" s="10" t="s">
        <v>38</v>
      </c>
      <c r="J8" s="10"/>
      <c r="K8" s="10"/>
      <c r="L8" s="10"/>
      <c r="M8" s="10"/>
      <c r="N8" s="9" t="s">
        <v>59</v>
      </c>
      <c r="O8" s="10" t="s">
        <v>60</v>
      </c>
      <c r="P8" s="10"/>
      <c r="Q8" s="10"/>
    </row>
    <row r="9" customFormat="false" ht="23.85" hidden="false" customHeight="false" outlineLevel="0" collapsed="false">
      <c r="A9" s="9" t="s">
        <v>88</v>
      </c>
      <c r="B9" s="9" t="s">
        <v>80</v>
      </c>
      <c r="C9" s="9" t="s">
        <v>89</v>
      </c>
      <c r="D9" s="9" t="s">
        <v>90</v>
      </c>
      <c r="E9" s="9" t="s">
        <v>91</v>
      </c>
      <c r="F9" s="10"/>
      <c r="G9" s="10"/>
      <c r="H9" s="10"/>
      <c r="I9" s="10" t="s">
        <v>72</v>
      </c>
      <c r="J9" s="10"/>
      <c r="K9" s="10"/>
      <c r="L9" s="10"/>
      <c r="M9" s="10"/>
      <c r="N9" s="9" t="s">
        <v>59</v>
      </c>
      <c r="O9" s="10" t="s">
        <v>60</v>
      </c>
      <c r="P9" s="10"/>
      <c r="Q9" s="10"/>
    </row>
    <row r="10" customFormat="false" ht="23.85" hidden="false" customHeight="false" outlineLevel="0" collapsed="false">
      <c r="A10" s="9" t="s">
        <v>92</v>
      </c>
      <c r="B10" s="9" t="s">
        <v>80</v>
      </c>
      <c r="C10" s="9" t="s">
        <v>93</v>
      </c>
      <c r="D10" s="9" t="s">
        <v>94</v>
      </c>
      <c r="E10" s="9" t="s">
        <v>95</v>
      </c>
      <c r="F10" s="10"/>
      <c r="G10" s="10"/>
      <c r="H10" s="10"/>
      <c r="I10" s="10" t="s">
        <v>72</v>
      </c>
      <c r="J10" s="10"/>
      <c r="K10" s="10"/>
      <c r="L10" s="10"/>
      <c r="M10" s="10"/>
      <c r="N10" s="9" t="s">
        <v>65</v>
      </c>
      <c r="O10" s="10" t="s">
        <v>60</v>
      </c>
      <c r="P10" s="10"/>
      <c r="Q10" s="10"/>
    </row>
    <row r="11" customFormat="false" ht="15" hidden="false" customHeight="false" outlineLevel="0" collapsed="false">
      <c r="A11" s="9" t="s">
        <v>96</v>
      </c>
      <c r="B11" s="9" t="s">
        <v>97</v>
      </c>
      <c r="C11" s="9" t="s">
        <v>98</v>
      </c>
      <c r="D11" s="9" t="s">
        <v>99</v>
      </c>
      <c r="E11" s="9" t="s">
        <v>100</v>
      </c>
      <c r="F11" s="10"/>
      <c r="G11" s="10"/>
      <c r="H11" s="10"/>
      <c r="I11" s="10" t="s">
        <v>101</v>
      </c>
      <c r="J11" s="10"/>
      <c r="K11" s="10"/>
      <c r="L11" s="10"/>
      <c r="M11" s="10"/>
      <c r="N11" s="9" t="s">
        <v>59</v>
      </c>
      <c r="O11" s="10" t="s">
        <v>60</v>
      </c>
      <c r="P11" s="10"/>
      <c r="Q11" s="10"/>
    </row>
    <row r="12" customFormat="false" ht="15" hidden="false" customHeight="false" outlineLevel="0" collapsed="false">
      <c r="A12" s="9" t="s">
        <v>102</v>
      </c>
      <c r="B12" s="9" t="s">
        <v>97</v>
      </c>
      <c r="C12" s="9" t="s">
        <v>103</v>
      </c>
      <c r="D12" s="9" t="s">
        <v>104</v>
      </c>
      <c r="E12" s="9" t="s">
        <v>105</v>
      </c>
      <c r="F12" s="10"/>
      <c r="G12" s="10"/>
      <c r="H12" s="10"/>
      <c r="I12" s="10" t="s">
        <v>106</v>
      </c>
      <c r="J12" s="10"/>
      <c r="K12" s="10"/>
      <c r="L12" s="10"/>
      <c r="M12" s="10"/>
      <c r="N12" s="9" t="s">
        <v>65</v>
      </c>
      <c r="O12" s="10" t="s">
        <v>60</v>
      </c>
      <c r="P12" s="10"/>
      <c r="Q12" s="10"/>
    </row>
    <row r="13" customFormat="false" ht="15" hidden="false" customHeight="false" outlineLevel="0" collapsed="false">
      <c r="A13" s="9" t="s">
        <v>107</v>
      </c>
      <c r="B13" s="9" t="s">
        <v>97</v>
      </c>
      <c r="C13" s="9" t="s">
        <v>108</v>
      </c>
      <c r="D13" s="9" t="s">
        <v>109</v>
      </c>
      <c r="E13" s="9" t="s">
        <v>110</v>
      </c>
      <c r="F13" s="10"/>
      <c r="G13" s="10"/>
      <c r="H13" s="10"/>
      <c r="I13" s="10" t="s">
        <v>106</v>
      </c>
      <c r="J13" s="10"/>
      <c r="K13" s="10"/>
      <c r="L13" s="10"/>
      <c r="M13" s="10"/>
      <c r="N13" s="9" t="s">
        <v>65</v>
      </c>
      <c r="O13" s="10" t="s">
        <v>60</v>
      </c>
      <c r="P13" s="10"/>
      <c r="Q13" s="10"/>
    </row>
    <row r="14" customFormat="false" ht="15" hidden="false" customHeight="false" outlineLevel="0" collapsed="false">
      <c r="A14" s="9" t="s">
        <v>111</v>
      </c>
      <c r="B14" s="9" t="s">
        <v>97</v>
      </c>
      <c r="C14" s="9" t="s">
        <v>112</v>
      </c>
      <c r="D14" s="9" t="s">
        <v>113</v>
      </c>
      <c r="E14" s="9" t="s">
        <v>114</v>
      </c>
      <c r="F14" s="10"/>
      <c r="G14" s="10"/>
      <c r="H14" s="10"/>
      <c r="I14" s="10" t="s">
        <v>115</v>
      </c>
      <c r="J14" s="10"/>
      <c r="K14" s="10"/>
      <c r="L14" s="10"/>
      <c r="M14" s="10"/>
      <c r="N14" s="9" t="s">
        <v>78</v>
      </c>
      <c r="O14" s="10" t="s">
        <v>60</v>
      </c>
      <c r="P14" s="10"/>
      <c r="Q14" s="10"/>
    </row>
    <row r="15" customFormat="false" ht="23.85" hidden="false" customHeight="false" outlineLevel="0" collapsed="false">
      <c r="A15" s="9" t="s">
        <v>116</v>
      </c>
      <c r="B15" s="9" t="s">
        <v>97</v>
      </c>
      <c r="C15" s="9" t="s">
        <v>117</v>
      </c>
      <c r="D15" s="9" t="s">
        <v>118</v>
      </c>
      <c r="E15" s="9" t="s">
        <v>119</v>
      </c>
      <c r="F15" s="10"/>
      <c r="G15" s="10"/>
      <c r="H15" s="10"/>
      <c r="I15" s="10" t="s">
        <v>72</v>
      </c>
      <c r="J15" s="10"/>
      <c r="K15" s="10"/>
      <c r="L15" s="10"/>
      <c r="M15" s="10"/>
      <c r="N15" s="9" t="s">
        <v>78</v>
      </c>
      <c r="O15" s="10" t="s">
        <v>60</v>
      </c>
      <c r="P15" s="10"/>
      <c r="Q15" s="10"/>
    </row>
    <row r="16" customFormat="false" ht="15" hidden="false" customHeight="false" outlineLevel="0" collapsed="false">
      <c r="A16" s="9" t="s">
        <v>120</v>
      </c>
      <c r="B16" s="9" t="s">
        <v>97</v>
      </c>
      <c r="C16" s="9" t="s">
        <v>121</v>
      </c>
      <c r="D16" s="9" t="s">
        <v>122</v>
      </c>
      <c r="E16" s="9" t="s">
        <v>123</v>
      </c>
      <c r="F16" s="10"/>
      <c r="G16" s="10"/>
      <c r="H16" s="10"/>
      <c r="I16" s="10" t="s">
        <v>38</v>
      </c>
      <c r="J16" s="10"/>
      <c r="K16" s="10"/>
      <c r="L16" s="10"/>
      <c r="M16" s="10"/>
      <c r="N16" s="9" t="s">
        <v>65</v>
      </c>
      <c r="O16" s="10" t="s">
        <v>60</v>
      </c>
      <c r="P16" s="10"/>
      <c r="Q16" s="10"/>
    </row>
    <row r="17" customFormat="false" ht="15" hidden="false" customHeight="false" outlineLevel="0" collapsed="false">
      <c r="A17" s="9" t="s">
        <v>124</v>
      </c>
      <c r="B17" s="9" t="s">
        <v>125</v>
      </c>
      <c r="C17" s="9" t="s">
        <v>126</v>
      </c>
      <c r="D17" s="9" t="s">
        <v>127</v>
      </c>
      <c r="E17" s="9" t="s">
        <v>128</v>
      </c>
      <c r="F17" s="10"/>
      <c r="G17" s="10"/>
      <c r="H17" s="10"/>
      <c r="I17" s="10" t="s">
        <v>38</v>
      </c>
      <c r="J17" s="10"/>
      <c r="K17" s="10"/>
      <c r="L17" s="10"/>
      <c r="M17" s="10"/>
      <c r="N17" s="9" t="s">
        <v>59</v>
      </c>
      <c r="O17" s="10" t="s">
        <v>60</v>
      </c>
      <c r="P17" s="10"/>
      <c r="Q17" s="10"/>
    </row>
    <row r="18" customFormat="false" ht="15" hidden="false" customHeight="false" outlineLevel="0" collapsed="false">
      <c r="A18" s="9" t="s">
        <v>129</v>
      </c>
      <c r="B18" s="9" t="s">
        <v>125</v>
      </c>
      <c r="C18" s="9" t="s">
        <v>130</v>
      </c>
      <c r="D18" s="9" t="s">
        <v>131</v>
      </c>
      <c r="E18" s="9" t="s">
        <v>132</v>
      </c>
      <c r="F18" s="10"/>
      <c r="G18" s="10"/>
      <c r="H18" s="10"/>
      <c r="I18" s="10" t="s">
        <v>38</v>
      </c>
      <c r="J18" s="10"/>
      <c r="K18" s="10"/>
      <c r="L18" s="10"/>
      <c r="M18" s="10"/>
      <c r="N18" s="9" t="s">
        <v>59</v>
      </c>
      <c r="O18" s="10" t="s">
        <v>60</v>
      </c>
      <c r="P18" s="10"/>
      <c r="Q18" s="10"/>
    </row>
    <row r="19" customFormat="false" ht="15" hidden="false" customHeight="false" outlineLevel="0" collapsed="false">
      <c r="A19" s="9" t="s">
        <v>133</v>
      </c>
      <c r="B19" s="9" t="s">
        <v>125</v>
      </c>
      <c r="C19" s="9" t="s">
        <v>134</v>
      </c>
      <c r="D19" s="9" t="s">
        <v>135</v>
      </c>
      <c r="E19" s="9" t="s">
        <v>136</v>
      </c>
      <c r="F19" s="10"/>
      <c r="G19" s="10"/>
      <c r="H19" s="10"/>
      <c r="I19" s="10" t="s">
        <v>38</v>
      </c>
      <c r="J19" s="10"/>
      <c r="K19" s="10"/>
      <c r="L19" s="10"/>
      <c r="M19" s="10"/>
      <c r="N19" s="9" t="s">
        <v>59</v>
      </c>
      <c r="O19" s="10" t="s">
        <v>60</v>
      </c>
      <c r="P19" s="10"/>
      <c r="Q19" s="10"/>
    </row>
    <row r="20" customFormat="false" ht="15" hidden="false" customHeight="false" outlineLevel="0" collapsed="false">
      <c r="A20" s="9" t="s">
        <v>137</v>
      </c>
      <c r="B20" s="9" t="s">
        <v>138</v>
      </c>
      <c r="C20" s="9" t="s">
        <v>139</v>
      </c>
      <c r="D20" s="9" t="s">
        <v>140</v>
      </c>
      <c r="E20" s="9" t="s">
        <v>141</v>
      </c>
      <c r="F20" s="10"/>
      <c r="G20" s="10"/>
      <c r="H20" s="10"/>
      <c r="I20" s="10" t="s">
        <v>142</v>
      </c>
      <c r="J20" s="10"/>
      <c r="K20" s="10"/>
      <c r="L20" s="10"/>
      <c r="M20" s="10"/>
      <c r="N20" s="9" t="s">
        <v>65</v>
      </c>
      <c r="O20" s="10" t="s">
        <v>60</v>
      </c>
      <c r="P20" s="10"/>
      <c r="Q20" s="10"/>
    </row>
    <row r="21" customFormat="false" ht="15" hidden="false" customHeight="false" outlineLevel="0" collapsed="false">
      <c r="A21" s="9" t="s">
        <v>143</v>
      </c>
      <c r="B21" s="9" t="s">
        <v>138</v>
      </c>
      <c r="C21" s="9" t="s">
        <v>144</v>
      </c>
      <c r="D21" s="9" t="s">
        <v>145</v>
      </c>
      <c r="E21" s="9" t="s">
        <v>146</v>
      </c>
      <c r="F21" s="10"/>
      <c r="G21" s="10"/>
      <c r="H21" s="10"/>
      <c r="I21" s="10" t="s">
        <v>38</v>
      </c>
      <c r="J21" s="10"/>
      <c r="K21" s="10"/>
      <c r="L21" s="10"/>
      <c r="M21" s="10"/>
      <c r="N21" s="9" t="s">
        <v>78</v>
      </c>
      <c r="O21" s="10" t="s">
        <v>60</v>
      </c>
      <c r="P21" s="10"/>
      <c r="Q21" s="10"/>
    </row>
    <row r="22" customFormat="false" ht="15" hidden="false" customHeight="false" outlineLevel="0" collapsed="false">
      <c r="A22" s="9" t="s">
        <v>147</v>
      </c>
      <c r="B22" s="9" t="s">
        <v>138</v>
      </c>
      <c r="C22" s="9" t="s">
        <v>148</v>
      </c>
      <c r="D22" s="9" t="s">
        <v>149</v>
      </c>
      <c r="E22" s="9" t="s">
        <v>150</v>
      </c>
      <c r="F22" s="10"/>
      <c r="G22" s="10"/>
      <c r="H22" s="10"/>
      <c r="I22" s="10" t="s">
        <v>151</v>
      </c>
      <c r="J22" s="10"/>
      <c r="K22" s="10"/>
      <c r="L22" s="10"/>
      <c r="M22" s="10"/>
      <c r="N22" s="9" t="s">
        <v>78</v>
      </c>
      <c r="O22" s="10" t="s">
        <v>60</v>
      </c>
      <c r="P22" s="10"/>
      <c r="Q22" s="10"/>
    </row>
    <row r="23" customFormat="false" ht="23.85" hidden="false" customHeight="false" outlineLevel="0" collapsed="false">
      <c r="A23" s="9" t="s">
        <v>152</v>
      </c>
      <c r="B23" s="9" t="s">
        <v>153</v>
      </c>
      <c r="C23" s="9" t="s">
        <v>154</v>
      </c>
      <c r="D23" s="9" t="s">
        <v>155</v>
      </c>
      <c r="E23" s="9" t="s">
        <v>156</v>
      </c>
      <c r="F23" s="10"/>
      <c r="G23" s="10"/>
      <c r="H23" s="10"/>
      <c r="I23" s="10" t="s">
        <v>157</v>
      </c>
      <c r="J23" s="10"/>
      <c r="K23" s="10"/>
      <c r="L23" s="10"/>
      <c r="M23" s="10"/>
      <c r="N23" s="9" t="s">
        <v>59</v>
      </c>
      <c r="O23" s="10" t="s">
        <v>60</v>
      </c>
      <c r="P23" s="10"/>
      <c r="Q23" s="10"/>
    </row>
    <row r="24" customFormat="false" ht="23.85" hidden="false" customHeight="false" outlineLevel="0" collapsed="false">
      <c r="A24" s="9" t="s">
        <v>158</v>
      </c>
      <c r="B24" s="9" t="s">
        <v>153</v>
      </c>
      <c r="C24" s="9" t="s">
        <v>159</v>
      </c>
      <c r="D24" s="9" t="s">
        <v>160</v>
      </c>
      <c r="E24" s="9" t="s">
        <v>156</v>
      </c>
      <c r="F24" s="10"/>
      <c r="G24" s="10"/>
      <c r="H24" s="10"/>
      <c r="I24" s="10" t="s">
        <v>157</v>
      </c>
      <c r="J24" s="10"/>
      <c r="K24" s="10"/>
      <c r="L24" s="10"/>
      <c r="M24" s="10"/>
      <c r="N24" s="9" t="s">
        <v>65</v>
      </c>
      <c r="O24" s="10" t="s">
        <v>60</v>
      </c>
      <c r="P24" s="10"/>
      <c r="Q24" s="10"/>
    </row>
    <row r="25" customFormat="false" ht="15" hidden="false" customHeight="false" outlineLevel="0" collapsed="false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customFormat="false" ht="15" hidden="false" customHeight="false" outlineLevel="0" collapsed="false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customFormat="false" ht="15" hidden="false" customHeight="false" outlineLevel="0" collapsed="false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customFormat="false" ht="15" hidden="false" customHeight="false" outlineLevel="0" collapsed="false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customFormat="false" ht="15" hidden="false" customHeight="false" outlineLevel="0" collapsed="false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customFormat="false" ht="15" hidden="false" customHeight="false" outlineLevel="0" collapsed="false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customFormat="false" ht="15" hidden="false" customHeight="false" outlineLevel="0" collapsed="false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customFormat="false" ht="15" hidden="false" customHeight="false" outlineLevel="0" collapsed="false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customFormat="false" ht="15" hidden="false" customHeight="false" outlineLevel="0" collapsed="false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customFormat="false" ht="15" hidden="false" customHeight="false" outlineLevel="0" collapsed="false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customFormat="false" ht="15" hidden="false" customHeight="false" outlineLevel="0" collapsed="false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customFormat="false" ht="15" hidden="false" customHeight="false" outlineLevel="0" collapsed="false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customFormat="false" ht="15" hidden="false" customHeight="false" outlineLevel="0" collapsed="false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customFormat="false" ht="15" hidden="false" customHeight="false" outlineLevel="0" collapsed="false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customFormat="false" ht="15" hidden="false" customHeight="false" outlineLevel="0" collapsed="false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customFormat="false" ht="15" hidden="false" customHeight="false" outlineLevel="0" collapsed="false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customFormat="false" ht="15" hidden="false" customHeight="false" outlineLevel="0" collapsed="false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customFormat="false" ht="15" hidden="false" customHeight="false" outlineLevel="0" collapsed="false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customFormat="false" ht="15" hidden="false" customHeight="false" outlineLevel="0" collapsed="false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customFormat="false" ht="15" hidden="false" customHeight="false" outlineLevel="0" collapsed="false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</sheetData>
  <autoFilter ref="A1:Q44"/>
  <dataValidations count="5">
    <dataValidation allowBlank="true" errorStyle="stop" operator="between" showDropDown="false" showErrorMessage="false" showInputMessage="false" sqref="I2:I44" type="list">
      <formula1>Lists!$A$2:$A$7</formula1>
      <formula2>0</formula2>
    </dataValidation>
    <dataValidation allowBlank="true" errorStyle="stop" operator="between" showDropDown="false" showErrorMessage="false" showInputMessage="false" sqref="J2:J44" type="list">
      <formula1>Lists!$B$2:$B$4</formula1>
      <formula2>0</formula2>
    </dataValidation>
    <dataValidation allowBlank="true" errorStyle="stop" operator="between" showDropDown="false" showErrorMessage="false" showInputMessage="false" sqref="N2:N44" type="list">
      <formula1>Lists!$C$2:$C$4</formula1>
      <formula2>0</formula2>
    </dataValidation>
    <dataValidation allowBlank="true" errorStyle="stop" operator="between" showDropDown="false" showErrorMessage="false" showInputMessage="false" sqref="O2:O44" type="list">
      <formula1>Lists!$D$2:$D$3</formula1>
      <formula2>0</formula2>
    </dataValidation>
    <dataValidation allowBlank="true" errorStyle="stop" operator="between" showDropDown="false" showErrorMessage="false" showInputMessage="false" sqref="B2:B44" type="list">
      <formula1>Lists!$E$2:$E$7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8"/>
  </cols>
  <sheetData>
    <row r="1" customFormat="false" ht="15" hidden="false" customHeight="false" outlineLevel="0" collapsed="false">
      <c r="A1" s="11" t="s">
        <v>15</v>
      </c>
      <c r="B1" s="11" t="s">
        <v>17</v>
      </c>
      <c r="C1" s="11" t="s">
        <v>19</v>
      </c>
      <c r="D1" s="11" t="s">
        <v>46</v>
      </c>
      <c r="E1" s="11" t="s">
        <v>28</v>
      </c>
      <c r="G1" s="7" t="s">
        <v>161</v>
      </c>
    </row>
    <row r="2" customFormat="false" ht="15" hidden="false" customHeight="false" outlineLevel="0" collapsed="false">
      <c r="A2" s="6" t="s">
        <v>38</v>
      </c>
      <c r="B2" s="6" t="s">
        <v>162</v>
      </c>
      <c r="C2" s="6" t="s">
        <v>59</v>
      </c>
      <c r="D2" s="6" t="s">
        <v>47</v>
      </c>
      <c r="E2" s="6" t="s">
        <v>29</v>
      </c>
    </row>
    <row r="3" customFormat="false" ht="15" hidden="false" customHeight="false" outlineLevel="0" collapsed="false">
      <c r="A3" s="6" t="s">
        <v>163</v>
      </c>
      <c r="B3" s="6" t="s">
        <v>39</v>
      </c>
      <c r="C3" s="6" t="s">
        <v>65</v>
      </c>
      <c r="D3" s="6" t="s">
        <v>60</v>
      </c>
      <c r="E3" s="6" t="s">
        <v>80</v>
      </c>
    </row>
    <row r="4" customFormat="false" ht="15" hidden="false" customHeight="false" outlineLevel="0" collapsed="false">
      <c r="A4" s="6" t="s">
        <v>164</v>
      </c>
      <c r="B4" s="6" t="s">
        <v>165</v>
      </c>
      <c r="C4" s="6" t="s">
        <v>78</v>
      </c>
      <c r="E4" s="6" t="s">
        <v>97</v>
      </c>
    </row>
    <row r="5" customFormat="false" ht="15" hidden="false" customHeight="false" outlineLevel="0" collapsed="false">
      <c r="A5" s="6" t="s">
        <v>101</v>
      </c>
      <c r="E5" s="6" t="s">
        <v>125</v>
      </c>
    </row>
    <row r="6" customFormat="false" ht="15" hidden="false" customHeight="false" outlineLevel="0" collapsed="false">
      <c r="A6" s="6" t="s">
        <v>166</v>
      </c>
      <c r="E6" s="6" t="s">
        <v>138</v>
      </c>
    </row>
    <row r="7" customFormat="false" ht="15" hidden="false" customHeight="false" outlineLevel="0" collapsed="false">
      <c r="A7" s="6" t="s">
        <v>157</v>
      </c>
      <c r="E7" s="6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167</v>
      </c>
    </row>
    <row r="3" customFormat="false" ht="15" hidden="false" customHeight="false" outlineLevel="0" collapsed="false">
      <c r="A3" s="5" t="s">
        <v>168</v>
      </c>
      <c r="B3" s="5" t="s">
        <v>169</v>
      </c>
      <c r="C3" s="5" t="s">
        <v>170</v>
      </c>
    </row>
    <row r="4" customFormat="false" ht="15" hidden="false" customHeight="false" outlineLevel="0" collapsed="false">
      <c r="A4" s="6" t="s">
        <v>29</v>
      </c>
      <c r="B4" s="6" t="n">
        <f aca="false">COUNTIF('Parts Catalogue'!$B$2:$B$44,A4)</f>
        <v>5</v>
      </c>
      <c r="C4" s="6" t="n">
        <f aca="false">COUNTIFS('Parts Catalogue'!$B$2:$B$44,A4,'Parts Catalogue'!$O$2:$O$44,"Yes")</f>
        <v>0</v>
      </c>
    </row>
    <row r="5" customFormat="false" ht="15" hidden="false" customHeight="false" outlineLevel="0" collapsed="false">
      <c r="A5" s="6" t="s">
        <v>80</v>
      </c>
      <c r="B5" s="6" t="n">
        <f aca="false">COUNTIF('Parts Catalogue'!$B$2:$B$44,A5)</f>
        <v>4</v>
      </c>
      <c r="C5" s="6" t="n">
        <f aca="false">COUNTIFS('Parts Catalogue'!$B$2:$B$44,A5,'Parts Catalogue'!$O$2:$O$44,"Yes")</f>
        <v>0</v>
      </c>
    </row>
    <row r="6" customFormat="false" ht="15" hidden="false" customHeight="false" outlineLevel="0" collapsed="false">
      <c r="A6" s="6" t="s">
        <v>97</v>
      </c>
      <c r="B6" s="6" t="n">
        <f aca="false">COUNTIF('Parts Catalogue'!$B$2:$B$44,A6)</f>
        <v>6</v>
      </c>
      <c r="C6" s="6" t="n">
        <f aca="false">COUNTIFS('Parts Catalogue'!$B$2:$B$44,A6,'Parts Catalogue'!$O$2:$O$44,"Yes")</f>
        <v>0</v>
      </c>
    </row>
    <row r="7" customFormat="false" ht="15" hidden="false" customHeight="false" outlineLevel="0" collapsed="false">
      <c r="A7" s="6" t="s">
        <v>125</v>
      </c>
      <c r="B7" s="6" t="n">
        <f aca="false">COUNTIF('Parts Catalogue'!$B$2:$B$44,A7)</f>
        <v>3</v>
      </c>
      <c r="C7" s="6" t="n">
        <f aca="false">COUNTIFS('Parts Catalogue'!$B$2:$B$44,A7,'Parts Catalogue'!$O$2:$O$44,"Yes")</f>
        <v>0</v>
      </c>
    </row>
    <row r="8" customFormat="false" ht="15" hidden="false" customHeight="false" outlineLevel="0" collapsed="false">
      <c r="A8" s="6" t="s">
        <v>138</v>
      </c>
      <c r="B8" s="6" t="n">
        <f aca="false">COUNTIF('Parts Catalogue'!$B$2:$B$44,A8)</f>
        <v>3</v>
      </c>
      <c r="C8" s="6" t="n">
        <f aca="false">COUNTIFS('Parts Catalogue'!$B$2:$B$44,A8,'Parts Catalogue'!$O$2:$O$44,"Yes")</f>
        <v>0</v>
      </c>
    </row>
    <row r="9" customFormat="false" ht="15" hidden="false" customHeight="false" outlineLevel="0" collapsed="false">
      <c r="A9" s="6" t="s">
        <v>153</v>
      </c>
      <c r="B9" s="6" t="n">
        <f aca="false">COUNTIF('Parts Catalogue'!$B$2:$B$44,A9)</f>
        <v>2</v>
      </c>
      <c r="C9" s="6" t="n">
        <f aca="false">COUNTIFS('Parts Catalogue'!$B$2:$B$44,A9,'Parts Catalogue'!$O$2:$O$44,"Yes")</f>
        <v>0</v>
      </c>
    </row>
    <row r="10" customFormat="false" ht="15" hidden="false" customHeight="false" outlineLevel="0" collapsed="false">
      <c r="A10" s="5" t="s">
        <v>171</v>
      </c>
      <c r="B10" s="5" t="n">
        <f aca="false">SUM(B4:B9)</f>
        <v>23</v>
      </c>
      <c r="C10" s="5" t="n">
        <f aca="false">SUM(C4:C9)</f>
        <v>0</v>
      </c>
    </row>
    <row r="12" customFormat="false" ht="15" hidden="false" customHeight="false" outlineLevel="0" collapsed="false">
      <c r="A12" s="5" t="s">
        <v>172</v>
      </c>
      <c r="B12" s="5" t="s">
        <v>173</v>
      </c>
    </row>
    <row r="13" customFormat="false" ht="15" hidden="false" customHeight="false" outlineLevel="0" collapsed="false">
      <c r="A13" s="6" t="s">
        <v>162</v>
      </c>
      <c r="B13" s="6" t="n">
        <f aca="false">COUNTIFS('Parts Catalogue'!$J$2:$J$44,A13,'Parts Catalogue'!$O$2:$O$44,"Yes")</f>
        <v>0</v>
      </c>
    </row>
    <row r="14" customFormat="false" ht="15" hidden="false" customHeight="false" outlineLevel="0" collapsed="false">
      <c r="A14" s="6" t="s">
        <v>39</v>
      </c>
      <c r="B14" s="6" t="n">
        <f aca="false">COUNTIFS('Parts Catalogue'!$J$2:$J$44,A14,'Parts Catalogue'!$O$2:$O$44,"Yes")</f>
        <v>0</v>
      </c>
    </row>
    <row r="15" customFormat="false" ht="15" hidden="false" customHeight="false" outlineLevel="0" collapsed="false">
      <c r="A15" s="6" t="s">
        <v>165</v>
      </c>
      <c r="B15" s="6" t="n">
        <f aca="false">COUNTIFS('Parts Catalogue'!$J$2:$J$44,A15,'Parts Catalogue'!$O$2:$O$44,"Yes")</f>
        <v>0</v>
      </c>
    </row>
    <row r="18" customFormat="false" ht="15" hidden="false" customHeight="false" outlineLevel="0" collapsed="false">
      <c r="A18" s="5" t="s">
        <v>174</v>
      </c>
      <c r="B18" s="5" t="s">
        <v>173</v>
      </c>
    </row>
    <row r="19" customFormat="false" ht="15" hidden="false" customHeight="false" outlineLevel="0" collapsed="false">
      <c r="A19" s="6" t="s">
        <v>59</v>
      </c>
      <c r="B19" s="6" t="n">
        <f aca="false">COUNTIF('Parts Catalogue'!$N$2:$N$44,A19)</f>
        <v>10</v>
      </c>
    </row>
    <row r="20" customFormat="false" ht="15" hidden="false" customHeight="false" outlineLevel="0" collapsed="false">
      <c r="A20" s="6" t="s">
        <v>65</v>
      </c>
      <c r="B20" s="6" t="n">
        <f aca="false">COUNTIF('Parts Catalogue'!$N$2:$N$44,A20)</f>
        <v>8</v>
      </c>
    </row>
    <row r="21" customFormat="false" ht="15" hidden="false" customHeight="false" outlineLevel="0" collapsed="false">
      <c r="A21" s="6" t="s">
        <v>78</v>
      </c>
      <c r="B21" s="6" t="n">
        <f aca="false">COUNTIF('Parts Catalogue'!$N$2:$N$44,A21)</f>
        <v>5</v>
      </c>
    </row>
    <row r="23" customFormat="false" ht="15" hidden="false" customHeight="false" outlineLevel="0" collapsed="false">
      <c r="A23" s="7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2026-10-17T18:37:56Z</dcterms:created>
  <dc:creator>openpyxl</dc:creator>
  <dc:description/>
  <dc:language>en-US</dc:language>
  <cp:lastModifiedBy/>
  <dcterms:modified xsi:type="dcterms:W3CDTF">2026-10-17T18:37:57Z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